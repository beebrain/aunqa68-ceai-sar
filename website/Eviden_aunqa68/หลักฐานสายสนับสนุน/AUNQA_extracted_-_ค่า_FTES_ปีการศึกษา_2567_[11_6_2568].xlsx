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ประกันปี 67\หลักสูตร\FTES\"/>
    </mc:Choice>
  </mc:AlternateContent>
  <bookViews>
    <workbookView xWindow="0" yWindow="0" windowWidth="24000" windowHeight="9435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3" l="1"/>
  <c r="E82" i="3"/>
  <c r="E83" i="3"/>
  <c r="E84" i="3" s="1"/>
  <c r="E80" i="3"/>
  <c r="E61" i="3"/>
  <c r="E60" i="3"/>
  <c r="E59" i="3"/>
  <c r="E47" i="3"/>
  <c r="E34" i="3"/>
  <c r="C30" i="3"/>
  <c r="E30" i="3" s="1"/>
  <c r="E49" i="3"/>
  <c r="E50" i="3"/>
  <c r="E51" i="3"/>
  <c r="E53" i="3"/>
  <c r="E54" i="3"/>
  <c r="E55" i="3"/>
  <c r="E56" i="3"/>
  <c r="E57" i="3"/>
  <c r="E58" i="3"/>
  <c r="E43" i="3"/>
  <c r="E44" i="3"/>
  <c r="E45" i="3"/>
  <c r="E46" i="3"/>
  <c r="E48" i="3"/>
  <c r="E36" i="3"/>
  <c r="E37" i="3"/>
  <c r="E38" i="3"/>
  <c r="E39" i="3"/>
  <c r="E40" i="3"/>
  <c r="E41" i="3"/>
  <c r="E42" i="3"/>
  <c r="E25" i="3"/>
  <c r="E26" i="3"/>
  <c r="E27" i="3"/>
  <c r="E28" i="3"/>
  <c r="E29" i="3"/>
  <c r="E31" i="3"/>
  <c r="E32" i="3"/>
  <c r="E33" i="3"/>
  <c r="E24" i="3"/>
  <c r="E78" i="3"/>
  <c r="E79" i="3" s="1"/>
  <c r="E73" i="3"/>
  <c r="E72" i="3"/>
  <c r="E64" i="3"/>
  <c r="E65" i="3"/>
  <c r="E66" i="3"/>
  <c r="E67" i="3"/>
  <c r="E68" i="3"/>
  <c r="E69" i="3"/>
  <c r="E70" i="3"/>
  <c r="E71" i="3"/>
  <c r="E63" i="3"/>
  <c r="E62" i="3" l="1"/>
  <c r="E52" i="3"/>
  <c r="E35" i="3"/>
  <c r="E74" i="3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76" i="3"/>
  <c r="E75" i="3"/>
  <c r="E77" i="3" s="1"/>
  <c r="E3" i="3"/>
  <c r="E23" i="3" l="1"/>
</calcChain>
</file>

<file path=xl/sharedStrings.xml><?xml version="1.0" encoding="utf-8"?>
<sst xmlns="http://schemas.openxmlformats.org/spreadsheetml/2006/main" count="96" uniqueCount="86">
  <si>
    <t>คณะเกษตรศาสตร์</t>
  </si>
  <si>
    <t>สาขาวิชาเกษตรศาสตร์</t>
  </si>
  <si>
    <t>รวม</t>
  </si>
  <si>
    <t>คณะ</t>
  </si>
  <si>
    <t>หลักสูตร</t>
  </si>
  <si>
    <t xml:space="preserve">สาขาวิชาเทคโนโลยีการอาหาร </t>
  </si>
  <si>
    <t>รวมจำนวน FTES</t>
  </si>
  <si>
    <t>FTESภาคปกติ</t>
  </si>
  <si>
    <t>FTESภาคพิเศษ</t>
  </si>
  <si>
    <t>คณะครุศาสตร์</t>
  </si>
  <si>
    <t>สาขาการบริหารการศึกษา</t>
  </si>
  <si>
    <t>สาขาวิชาการประถมศึกษา</t>
  </si>
  <si>
    <t>สาขาวิชาคอมพิวเตอร์ศึกษา</t>
  </si>
  <si>
    <t>สาขาวิชาเทคโนโลยีการศึกษาและคอมพิวเตอร์</t>
  </si>
  <si>
    <t>สาขาวิชาภาษาจีน ค.บ.</t>
  </si>
  <si>
    <t>สาขาวิชาภาษาอังกฤษ  ค.บ.</t>
  </si>
  <si>
    <t>สาขาวิชาวิจัยและประเมินเพื่อพัฒนาการศึกษา</t>
  </si>
  <si>
    <t>สาขาวิชาหลักสูตรและการสอน</t>
  </si>
  <si>
    <t xml:space="preserve">สาขาวิชาการศึกษาปฐมวัย </t>
  </si>
  <si>
    <t xml:space="preserve">สาขาวิชาคณิตศาสตร์ </t>
  </si>
  <si>
    <t xml:space="preserve">สาขาวิชาจิตวิทยาการแนะแนวและบรรณารักษศาสตร์ </t>
  </si>
  <si>
    <t>สาขาวิชานาฏศิลป์</t>
  </si>
  <si>
    <t xml:space="preserve">สาขาวิชาพลศึกษา </t>
  </si>
  <si>
    <t>สาขาวิชาภาษาต่างประเทศ</t>
  </si>
  <si>
    <t>สาขาวิชาภาษาไทย</t>
  </si>
  <si>
    <t xml:space="preserve">สาขาวิชาวิทยาศาสตร์ </t>
  </si>
  <si>
    <t>สาขาวิชาวิทยาศาสตร์ทั่วไป</t>
  </si>
  <si>
    <t xml:space="preserve">สาขาวิชาสังคมศึกษา </t>
  </si>
  <si>
    <t xml:space="preserve">สาขาวิชาดนตรี </t>
  </si>
  <si>
    <t>คณะเทคโนโลยีอุตสาหกรรม</t>
  </si>
  <si>
    <t>สาขาการจัดการงานวิศวกรรม</t>
  </si>
  <si>
    <t>สาขาวิชาวิศวกรรมพลังงาน</t>
  </si>
  <si>
    <t>สาขาวิชาวิศวกรรมอิเล็กทรอนิกส์อัจฉริยะ</t>
  </si>
  <si>
    <t xml:space="preserve">สาขาวิชาอุตสาหกรรมศิลป์ </t>
  </si>
  <si>
    <t>สาขาวิชาอุตสาหกรรมศิลป์</t>
  </si>
  <si>
    <t>สาขาวิชาเทคโนโลยีคอมพิวเตอร์เพื่อการออกแบบ</t>
  </si>
  <si>
    <t>สาขาวิชาเทคโนโลยีไฟฟ้า</t>
  </si>
  <si>
    <t>สาขาวิชาเทคโนโลยีสำรวจและภูมิสารสนเทศ</t>
  </si>
  <si>
    <t>สาขาวิชาเทคโนโลยีอุตสาหการ</t>
  </si>
  <si>
    <t xml:space="preserve">สาขาวิชาวิศวกรรมคอมพิวเตอร์ </t>
  </si>
  <si>
    <t xml:space="preserve">สาขาวิชาวิศวกรรมบริหารงานก่อสร้าง </t>
  </si>
  <si>
    <t xml:space="preserve">สาขาวิชาวิศวกรรมโลจิสติกส์ </t>
  </si>
  <si>
    <t>คณะพยาบาลศาสตร์</t>
  </si>
  <si>
    <t>พยาบาลศาสตร์</t>
  </si>
  <si>
    <t>คณะวิทยาศาสตร์และเทคโนโลยี</t>
  </si>
  <si>
    <t>สาขาการจัดการทรัพยากรธรรมชาติและสิ่งแวดล้อม</t>
  </si>
  <si>
    <t>สาขาวิชาคณิตศาสตร์</t>
  </si>
  <si>
    <t>สาขาวิชาเคมี</t>
  </si>
  <si>
    <t>สาขาวิชาชีววิทยา</t>
  </si>
  <si>
    <t>สาขาวิชาฟิสิกส์</t>
  </si>
  <si>
    <t>สาขาวิชาวิทยาการคอมพิวเตอร์</t>
  </si>
  <si>
    <t>สาขาวิชาวิทยาศาสตร์สิ่งแวดล้อม</t>
  </si>
  <si>
    <t>สาขาวิชาสาธารณสุขศาสตร์</t>
  </si>
  <si>
    <t>สาขาวิชาวิทยาศาสตร์การกีฬา</t>
  </si>
  <si>
    <t>สาขาวิชาอาหารและโภชนาการ</t>
  </si>
  <si>
    <t xml:space="preserve">สาขาวิชาเทคโนโลยีสารสนเทศ </t>
  </si>
  <si>
    <t>คณะมนุษยศาสตร์และสังคมศาสตร์</t>
  </si>
  <si>
    <t>สาขาวิชาการออกแบบนิเทศศิลป์</t>
  </si>
  <si>
    <t>สาขาวิชาดนตรีสากล</t>
  </si>
  <si>
    <t xml:space="preserve">สาขาวิชานิติศาสตร์ </t>
  </si>
  <si>
    <t>สาขาวิชาบรรณารักษ์</t>
  </si>
  <si>
    <t>สาขาวิชาพัฒนาชุมชน</t>
  </si>
  <si>
    <t>สาขาวิชาภาษาจีน</t>
  </si>
  <si>
    <t>สาขาวิชาภาษาจีนธุรกิจ</t>
  </si>
  <si>
    <t>สาขาวิชาภาษาอังกฤษธุรกิจ</t>
  </si>
  <si>
    <t>สาขาวิชาภาษาอังกฤษ</t>
  </si>
  <si>
    <t>สาขาวิชารัฐประศาสนศาสตร์</t>
  </si>
  <si>
    <t>สาขาสังคมศาสตร์เพื่อการพัฒนาท้องถิ่น</t>
  </si>
  <si>
    <t xml:space="preserve">สาขาวิชาดนตรีศึกษา </t>
  </si>
  <si>
    <t>สาขาวิชาทัศนศิลป์</t>
  </si>
  <si>
    <t xml:space="preserve">สาขาวิชาการท่องเที่ยวและการโรงแรม </t>
  </si>
  <si>
    <t>สาขาวิชาภาษาญี่ปุ่นธุรกิจ</t>
  </si>
  <si>
    <t>คณะวิทยาการจัดการ</t>
  </si>
  <si>
    <t>สาขาวิชาการบัญชี</t>
  </si>
  <si>
    <t>สาขาวิชาคอมพิวเตอร์ธุรกิจ</t>
  </si>
  <si>
    <t>สาขาวิชาบริหารธุรกิจ</t>
  </si>
  <si>
    <t>สาขาวิชาการจัดการธุรกิจบริการ</t>
  </si>
  <si>
    <t xml:space="preserve">สาขาวิชาการจัดการ </t>
  </si>
  <si>
    <t xml:space="preserve">สาขาวิชาการจัดการธุรกิจสมัยใหม่ </t>
  </si>
  <si>
    <t xml:space="preserve">สาขาวิชาการตลาดดิจิทัล </t>
  </si>
  <si>
    <t>สาขาวิชาเศรษฐกิจดิจิทัล</t>
  </si>
  <si>
    <t>วิทยาลัยน่าน</t>
  </si>
  <si>
    <t>สาขาวิชาการจัดการ</t>
  </si>
  <si>
    <t xml:space="preserve">สาขาวิชารัฐประศาสนศาสตร์ </t>
  </si>
  <si>
    <t>จำนวนนักศึกษาเต็มเวลาเทียบเท่า ปีการศึกษา 2567</t>
  </si>
  <si>
    <t>สาขาวิชานิเทศศาสตร์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</si>
</sst>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2" fontId="2" fillId="0" borderId="0" xfId="0" applyNumberFormat="1" applyFont="1"/>
    <xf numFmtId="2" fontId="2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3" fontId="2" fillId="0" borderId="1" xfId="1" applyFont="1" applyBorder="1"/>
    <xf numFmtId="0" fontId="2" fillId="0" borderId="1" xfId="0" applyFont="1" applyBorder="1" applyAlignment="1">
      <alignment horizontal="right"/>
    </xf>
    <xf numFmtId="43" fontId="3" fillId="0" borderId="1" xfId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workbookViewId="0">
      <selection activeCell="C86" sqref="C86"/>
    </sheetView>
  </sheetViews>
  <sheetFormatPr defaultColWidth="8.875" defaultRowHeight="20.25"/>
  <cols>
    <col min="1" max="1" width="33.625" style="3" bestFit="1" customWidth="1"/>
    <col min="2" max="2" width="44.875" style="3" bestFit="1" customWidth="1"/>
    <col min="3" max="3" width="14" style="3" bestFit="1" customWidth="1"/>
    <col min="4" max="4" width="15.375" style="3" bestFit="1" customWidth="1"/>
    <col min="5" max="5" width="16.875" style="3" bestFit="1" customWidth="1"/>
    <col min="6" max="16384" width="8.875" style="3"/>
  </cols>
  <sheetData>
    <row r="1" spans="1:5">
      <c r="A1" s="3" t="s">
        <v>84</v>
      </c>
    </row>
    <row r="2" spans="1:5">
      <c r="A2" s="7" t="s">
        <v>3</v>
      </c>
      <c r="B2" s="7" t="s">
        <v>4</v>
      </c>
      <c r="C2" s="7" t="s">
        <v>7</v>
      </c>
      <c r="D2" s="7" t="s">
        <v>8</v>
      </c>
      <c r="E2" s="7" t="s">
        <v>6</v>
      </c>
    </row>
    <row r="3" spans="1:5">
      <c r="A3" s="5" t="s">
        <v>9</v>
      </c>
      <c r="B3" s="4" t="s">
        <v>10</v>
      </c>
      <c r="C3" s="2">
        <v>40.75</v>
      </c>
      <c r="D3" s="2"/>
      <c r="E3" s="2">
        <f>C3+D3</f>
        <v>40.75</v>
      </c>
    </row>
    <row r="4" spans="1:5">
      <c r="A4" s="4"/>
      <c r="B4" s="4" t="s">
        <v>11</v>
      </c>
      <c r="C4" s="2">
        <v>92.666666666666657</v>
      </c>
      <c r="D4" s="2"/>
      <c r="E4" s="2">
        <f t="shared" ref="E4:E73" si="0">C4+D4</f>
        <v>92.666666666666657</v>
      </c>
    </row>
    <row r="5" spans="1:5">
      <c r="A5" s="4"/>
      <c r="B5" s="4" t="s">
        <v>12</v>
      </c>
      <c r="C5" s="2">
        <v>14.166666666666668</v>
      </c>
      <c r="D5" s="2"/>
      <c r="E5" s="2">
        <f t="shared" si="0"/>
        <v>14.166666666666668</v>
      </c>
    </row>
    <row r="6" spans="1:5">
      <c r="A6" s="4"/>
      <c r="B6" s="4" t="s">
        <v>13</v>
      </c>
      <c r="C6" s="2">
        <v>81.611111111111143</v>
      </c>
      <c r="D6" s="2"/>
      <c r="E6" s="2">
        <f t="shared" si="0"/>
        <v>81.611111111111143</v>
      </c>
    </row>
    <row r="7" spans="1:5">
      <c r="A7" s="4"/>
      <c r="B7" s="4" t="s">
        <v>14</v>
      </c>
      <c r="C7" s="2">
        <v>15.972222222222223</v>
      </c>
      <c r="D7" s="2"/>
      <c r="E7" s="2">
        <f t="shared" si="0"/>
        <v>15.972222222222223</v>
      </c>
    </row>
    <row r="8" spans="1:5">
      <c r="A8" s="4"/>
      <c r="B8" s="4" t="s">
        <v>15</v>
      </c>
      <c r="C8" s="2">
        <v>96.444444444444443</v>
      </c>
      <c r="D8" s="2"/>
      <c r="E8" s="2">
        <f t="shared" si="0"/>
        <v>96.444444444444443</v>
      </c>
    </row>
    <row r="9" spans="1:5">
      <c r="A9" s="4"/>
      <c r="B9" s="4" t="s">
        <v>16</v>
      </c>
      <c r="C9" s="2">
        <v>29.416666666666668</v>
      </c>
      <c r="D9" s="2"/>
      <c r="E9" s="2">
        <f t="shared" si="0"/>
        <v>29.416666666666668</v>
      </c>
    </row>
    <row r="10" spans="1:5">
      <c r="A10" s="4"/>
      <c r="B10" s="4" t="s">
        <v>17</v>
      </c>
      <c r="C10" s="2">
        <v>25.416666666666664</v>
      </c>
      <c r="D10" s="2"/>
      <c r="E10" s="2">
        <f t="shared" si="0"/>
        <v>25.416666666666664</v>
      </c>
    </row>
    <row r="11" spans="1:5">
      <c r="A11" s="4"/>
      <c r="B11" s="4" t="s">
        <v>34</v>
      </c>
      <c r="C11" s="2">
        <v>0.66666666666666663</v>
      </c>
      <c r="D11" s="2"/>
      <c r="E11" s="2">
        <f t="shared" si="0"/>
        <v>0.66666666666666663</v>
      </c>
    </row>
    <row r="12" spans="1:5">
      <c r="A12" s="4"/>
      <c r="B12" s="4" t="s">
        <v>18</v>
      </c>
      <c r="C12" s="2">
        <v>92.388888888888872</v>
      </c>
      <c r="D12" s="2"/>
      <c r="E12" s="2">
        <f t="shared" si="0"/>
        <v>92.388888888888872</v>
      </c>
    </row>
    <row r="13" spans="1:5">
      <c r="A13" s="4"/>
      <c r="B13" s="4" t="s">
        <v>19</v>
      </c>
      <c r="C13" s="2">
        <v>77.361111111111072</v>
      </c>
      <c r="D13" s="2"/>
      <c r="E13" s="2">
        <f t="shared" si="0"/>
        <v>77.361111111111072</v>
      </c>
    </row>
    <row r="14" spans="1:5">
      <c r="A14" s="4"/>
      <c r="B14" s="4" t="s">
        <v>20</v>
      </c>
      <c r="C14" s="2">
        <v>54.89</v>
      </c>
      <c r="D14" s="2"/>
      <c r="E14" s="2">
        <f t="shared" si="0"/>
        <v>54.89</v>
      </c>
    </row>
    <row r="15" spans="1:5">
      <c r="A15" s="4"/>
      <c r="B15" s="4" t="s">
        <v>21</v>
      </c>
      <c r="C15" s="2">
        <v>77.39</v>
      </c>
      <c r="D15" s="2"/>
      <c r="E15" s="2">
        <f t="shared" si="0"/>
        <v>77.39</v>
      </c>
    </row>
    <row r="16" spans="1:5">
      <c r="A16" s="4"/>
      <c r="B16" s="4" t="s">
        <v>22</v>
      </c>
      <c r="C16" s="2">
        <v>106.17</v>
      </c>
      <c r="D16" s="2"/>
      <c r="E16" s="2">
        <f t="shared" si="0"/>
        <v>106.17</v>
      </c>
    </row>
    <row r="17" spans="1:5">
      <c r="A17" s="4"/>
      <c r="B17" s="4" t="s">
        <v>23</v>
      </c>
      <c r="C17" s="2">
        <v>137.2777777777778</v>
      </c>
      <c r="D17" s="2"/>
      <c r="E17" s="2">
        <f t="shared" si="0"/>
        <v>137.2777777777778</v>
      </c>
    </row>
    <row r="18" spans="1:5">
      <c r="A18" s="4"/>
      <c r="B18" s="4" t="s">
        <v>24</v>
      </c>
      <c r="C18" s="2">
        <v>103.61</v>
      </c>
      <c r="D18" s="2"/>
      <c r="E18" s="2">
        <f t="shared" si="0"/>
        <v>103.61</v>
      </c>
    </row>
    <row r="19" spans="1:5">
      <c r="A19" s="4"/>
      <c r="B19" s="4" t="s">
        <v>25</v>
      </c>
      <c r="C19" s="2">
        <v>38.17</v>
      </c>
      <c r="D19" s="2"/>
      <c r="E19" s="2">
        <f t="shared" si="0"/>
        <v>38.17</v>
      </c>
    </row>
    <row r="20" spans="1:5">
      <c r="A20" s="4"/>
      <c r="B20" s="4" t="s">
        <v>26</v>
      </c>
      <c r="C20" s="2">
        <v>54.81</v>
      </c>
      <c r="D20" s="2"/>
      <c r="E20" s="2">
        <f t="shared" si="0"/>
        <v>54.81</v>
      </c>
    </row>
    <row r="21" spans="1:5">
      <c r="A21" s="4"/>
      <c r="B21" s="4" t="s">
        <v>27</v>
      </c>
      <c r="C21" s="2">
        <v>72.61</v>
      </c>
      <c r="D21" s="2"/>
      <c r="E21" s="2">
        <f t="shared" si="0"/>
        <v>72.61</v>
      </c>
    </row>
    <row r="22" spans="1:5">
      <c r="A22" s="4"/>
      <c r="B22" s="4" t="s">
        <v>28</v>
      </c>
      <c r="C22" s="2">
        <v>18.36</v>
      </c>
      <c r="D22" s="2"/>
      <c r="E22" s="2">
        <f t="shared" si="0"/>
        <v>18.36</v>
      </c>
    </row>
    <row r="23" spans="1:5">
      <c r="A23" s="16" t="s">
        <v>2</v>
      </c>
      <c r="B23" s="17"/>
      <c r="C23" s="17"/>
      <c r="D23" s="18"/>
      <c r="E23" s="8">
        <f>SUM(E3:E22)</f>
        <v>1230.1488888888887</v>
      </c>
    </row>
    <row r="24" spans="1:5">
      <c r="A24" s="9" t="s">
        <v>44</v>
      </c>
      <c r="B24" s="10" t="s">
        <v>45</v>
      </c>
      <c r="C24" s="13">
        <v>1.33</v>
      </c>
      <c r="D24" s="13"/>
      <c r="E24" s="2">
        <f t="shared" si="0"/>
        <v>1.33</v>
      </c>
    </row>
    <row r="25" spans="1:5">
      <c r="A25" s="7"/>
      <c r="B25" s="10" t="s">
        <v>46</v>
      </c>
      <c r="C25" s="13">
        <v>125.14</v>
      </c>
      <c r="D25" s="13">
        <v>1.83</v>
      </c>
      <c r="E25" s="2">
        <f t="shared" si="0"/>
        <v>126.97</v>
      </c>
    </row>
    <row r="26" spans="1:5">
      <c r="A26" s="7"/>
      <c r="B26" s="10" t="s">
        <v>47</v>
      </c>
      <c r="C26" s="13">
        <v>28.08</v>
      </c>
      <c r="D26" s="13"/>
      <c r="E26" s="2">
        <f t="shared" si="0"/>
        <v>28.08</v>
      </c>
    </row>
    <row r="27" spans="1:5">
      <c r="A27" s="7"/>
      <c r="B27" s="10" t="s">
        <v>48</v>
      </c>
      <c r="C27" s="13">
        <v>34.03</v>
      </c>
      <c r="D27" s="13"/>
      <c r="E27" s="2">
        <f t="shared" si="0"/>
        <v>34.03</v>
      </c>
    </row>
    <row r="28" spans="1:5">
      <c r="A28" s="7"/>
      <c r="B28" s="10" t="s">
        <v>49</v>
      </c>
      <c r="C28" s="13">
        <v>17.309999999999999</v>
      </c>
      <c r="D28" s="13"/>
      <c r="E28" s="2">
        <f t="shared" si="0"/>
        <v>17.309999999999999</v>
      </c>
    </row>
    <row r="29" spans="1:5">
      <c r="A29" s="7"/>
      <c r="B29" s="10" t="s">
        <v>50</v>
      </c>
      <c r="C29" s="13">
        <v>64.97</v>
      </c>
      <c r="D29" s="13">
        <v>0.75</v>
      </c>
      <c r="E29" s="2">
        <f t="shared" si="0"/>
        <v>65.72</v>
      </c>
    </row>
    <row r="30" spans="1:5">
      <c r="A30" s="7"/>
      <c r="B30" s="10" t="s">
        <v>53</v>
      </c>
      <c r="C30" s="13">
        <f>149.47+16.72</f>
        <v>166.19</v>
      </c>
      <c r="D30" s="13">
        <v>0.56000000000000005</v>
      </c>
      <c r="E30" s="2">
        <f t="shared" si="0"/>
        <v>166.75</v>
      </c>
    </row>
    <row r="31" spans="1:5">
      <c r="A31" s="7"/>
      <c r="B31" s="10" t="s">
        <v>51</v>
      </c>
      <c r="C31" s="13">
        <v>22.67</v>
      </c>
      <c r="D31" s="13"/>
      <c r="E31" s="2">
        <f t="shared" si="0"/>
        <v>22.67</v>
      </c>
    </row>
    <row r="32" spans="1:5">
      <c r="A32" s="7"/>
      <c r="B32" s="10" t="s">
        <v>52</v>
      </c>
      <c r="C32" s="13">
        <v>267.5</v>
      </c>
      <c r="D32" s="13">
        <v>0.56000000000000005</v>
      </c>
      <c r="E32" s="2">
        <f t="shared" si="0"/>
        <v>268.06</v>
      </c>
    </row>
    <row r="33" spans="1:5">
      <c r="A33" s="7"/>
      <c r="B33" s="10" t="s">
        <v>54</v>
      </c>
      <c r="C33" s="13">
        <v>68.58</v>
      </c>
      <c r="D33" s="13">
        <v>0.56000000000000005</v>
      </c>
      <c r="E33" s="2">
        <f t="shared" si="0"/>
        <v>69.14</v>
      </c>
    </row>
    <row r="34" spans="1:5">
      <c r="A34" s="7"/>
      <c r="B34" s="10" t="s">
        <v>55</v>
      </c>
      <c r="C34" s="13">
        <v>54</v>
      </c>
      <c r="D34" s="13">
        <v>0.75</v>
      </c>
      <c r="E34" s="2">
        <f t="shared" si="0"/>
        <v>54.75</v>
      </c>
    </row>
    <row r="35" spans="1:5">
      <c r="A35" s="16" t="s">
        <v>2</v>
      </c>
      <c r="B35" s="17"/>
      <c r="C35" s="17"/>
      <c r="D35" s="18"/>
      <c r="E35" s="6">
        <f>SUM(E24:E34)</f>
        <v>854.81000000000006</v>
      </c>
    </row>
    <row r="36" spans="1:5">
      <c r="A36" s="9" t="s">
        <v>56</v>
      </c>
      <c r="B36" s="10" t="s">
        <v>57</v>
      </c>
      <c r="C36" s="13">
        <v>52.47</v>
      </c>
      <c r="D36" s="13"/>
      <c r="E36" s="2">
        <f t="shared" si="0"/>
        <v>52.47</v>
      </c>
    </row>
    <row r="37" spans="1:5">
      <c r="A37" s="7"/>
      <c r="B37" s="10" t="s">
        <v>58</v>
      </c>
      <c r="C37" s="13">
        <v>3.5</v>
      </c>
      <c r="D37" s="13"/>
      <c r="E37" s="2">
        <f t="shared" si="0"/>
        <v>3.5</v>
      </c>
    </row>
    <row r="38" spans="1:5">
      <c r="A38" s="7"/>
      <c r="B38" s="10" t="s">
        <v>59</v>
      </c>
      <c r="C38" s="13">
        <v>146.19</v>
      </c>
      <c r="D38" s="13">
        <v>89.33</v>
      </c>
      <c r="E38" s="2">
        <f t="shared" si="0"/>
        <v>235.51999999999998</v>
      </c>
    </row>
    <row r="39" spans="1:5">
      <c r="A39" s="7"/>
      <c r="B39" s="10" t="s">
        <v>60</v>
      </c>
      <c r="C39" s="13">
        <v>41.33</v>
      </c>
      <c r="D39" s="13">
        <v>1.08</v>
      </c>
      <c r="E39" s="2">
        <f t="shared" si="0"/>
        <v>42.41</v>
      </c>
    </row>
    <row r="40" spans="1:5">
      <c r="A40" s="7"/>
      <c r="B40" s="10" t="s">
        <v>61</v>
      </c>
      <c r="C40" s="13">
        <v>103.69</v>
      </c>
      <c r="D40" s="13">
        <v>1.08</v>
      </c>
      <c r="E40" s="2">
        <f t="shared" si="0"/>
        <v>104.77</v>
      </c>
    </row>
    <row r="41" spans="1:5">
      <c r="A41" s="7"/>
      <c r="B41" s="10" t="s">
        <v>62</v>
      </c>
      <c r="C41" s="13">
        <v>9.33</v>
      </c>
      <c r="D41" s="13"/>
      <c r="E41" s="2">
        <f t="shared" si="0"/>
        <v>9.33</v>
      </c>
    </row>
    <row r="42" spans="1:5">
      <c r="A42" s="7"/>
      <c r="B42" s="10" t="s">
        <v>63</v>
      </c>
      <c r="C42" s="13">
        <v>10.58</v>
      </c>
      <c r="D42" s="13"/>
      <c r="E42" s="2">
        <f t="shared" si="0"/>
        <v>10.58</v>
      </c>
    </row>
    <row r="43" spans="1:5">
      <c r="A43" s="7"/>
      <c r="B43" s="10" t="s">
        <v>65</v>
      </c>
      <c r="C43" s="13">
        <v>238.19</v>
      </c>
      <c r="D43" s="13">
        <v>1.75</v>
      </c>
      <c r="E43" s="2">
        <f t="shared" si="0"/>
        <v>239.94</v>
      </c>
    </row>
    <row r="44" spans="1:5">
      <c r="A44" s="7"/>
      <c r="B44" s="10" t="s">
        <v>64</v>
      </c>
      <c r="C44" s="13">
        <v>88.58</v>
      </c>
      <c r="D44" s="13"/>
      <c r="E44" s="2">
        <f t="shared" si="0"/>
        <v>88.58</v>
      </c>
    </row>
    <row r="45" spans="1:5">
      <c r="A45" s="7"/>
      <c r="B45" s="10" t="s">
        <v>66</v>
      </c>
      <c r="C45" s="13">
        <v>126.56</v>
      </c>
      <c r="D45" s="13">
        <v>15.42</v>
      </c>
      <c r="E45" s="2">
        <f t="shared" si="0"/>
        <v>141.97999999999999</v>
      </c>
    </row>
    <row r="46" spans="1:5">
      <c r="A46" s="7"/>
      <c r="B46" s="10" t="s">
        <v>67</v>
      </c>
      <c r="C46" s="13">
        <v>160.94</v>
      </c>
      <c r="D46" s="13">
        <v>6.75</v>
      </c>
      <c r="E46" s="2">
        <f t="shared" si="0"/>
        <v>167.69</v>
      </c>
    </row>
    <row r="47" spans="1:5">
      <c r="A47" s="7"/>
      <c r="B47" s="10" t="s">
        <v>68</v>
      </c>
      <c r="C47" s="13">
        <v>111.38</v>
      </c>
      <c r="D47" s="13"/>
      <c r="E47" s="2">
        <f t="shared" si="0"/>
        <v>111.38</v>
      </c>
    </row>
    <row r="48" spans="1:5">
      <c r="A48" s="11"/>
      <c r="B48" s="10" t="s">
        <v>24</v>
      </c>
      <c r="C48" s="13">
        <v>98.06</v>
      </c>
      <c r="D48" s="13">
        <v>2.08</v>
      </c>
      <c r="E48" s="2">
        <f t="shared" si="0"/>
        <v>100.14</v>
      </c>
    </row>
    <row r="49" spans="1:5">
      <c r="A49" s="11"/>
      <c r="B49" s="10" t="s">
        <v>69</v>
      </c>
      <c r="C49" s="13">
        <v>37.96</v>
      </c>
      <c r="D49" s="13"/>
      <c r="E49" s="2">
        <f>C49+D49</f>
        <v>37.96</v>
      </c>
    </row>
    <row r="50" spans="1:5">
      <c r="A50" s="11"/>
      <c r="B50" s="10" t="s">
        <v>70</v>
      </c>
      <c r="C50" s="13">
        <v>33.11</v>
      </c>
      <c r="D50" s="13"/>
      <c r="E50" s="2">
        <f>C50+D50</f>
        <v>33.11</v>
      </c>
    </row>
    <row r="51" spans="1:5">
      <c r="A51" s="11"/>
      <c r="B51" s="10" t="s">
        <v>71</v>
      </c>
      <c r="C51" s="13">
        <v>23.5</v>
      </c>
      <c r="D51" s="13"/>
      <c r="E51" s="2">
        <f>C51+D51</f>
        <v>23.5</v>
      </c>
    </row>
    <row r="52" spans="1:5">
      <c r="A52" s="16" t="s">
        <v>2</v>
      </c>
      <c r="B52" s="17"/>
      <c r="C52" s="17"/>
      <c r="D52" s="18"/>
      <c r="E52" s="6">
        <f>SUM(E36:E51)</f>
        <v>1402.8600000000001</v>
      </c>
    </row>
    <row r="53" spans="1:5">
      <c r="A53" s="9" t="s">
        <v>72</v>
      </c>
      <c r="B53" s="10" t="s">
        <v>73</v>
      </c>
      <c r="C53" s="13">
        <v>240.42</v>
      </c>
      <c r="D53" s="13"/>
      <c r="E53" s="2">
        <f t="shared" si="0"/>
        <v>240.42</v>
      </c>
    </row>
    <row r="54" spans="1:5">
      <c r="A54" s="11"/>
      <c r="B54" s="10" t="s">
        <v>74</v>
      </c>
      <c r="C54" s="13">
        <v>110.72</v>
      </c>
      <c r="D54" s="13"/>
      <c r="E54" s="2">
        <f t="shared" si="0"/>
        <v>110.72</v>
      </c>
    </row>
    <row r="55" spans="1:5">
      <c r="A55" s="11"/>
      <c r="B55" s="10" t="s">
        <v>85</v>
      </c>
      <c r="C55" s="13">
        <v>193.67</v>
      </c>
      <c r="D55" s="13"/>
      <c r="E55" s="2">
        <f t="shared" si="0"/>
        <v>193.67</v>
      </c>
    </row>
    <row r="56" spans="1:5">
      <c r="A56" s="11"/>
      <c r="B56" s="10" t="s">
        <v>75</v>
      </c>
      <c r="C56" s="13">
        <v>36.08</v>
      </c>
      <c r="D56" s="13"/>
      <c r="E56" s="2">
        <f t="shared" si="0"/>
        <v>36.08</v>
      </c>
    </row>
    <row r="57" spans="1:5">
      <c r="A57" s="11"/>
      <c r="B57" s="10" t="s">
        <v>77</v>
      </c>
      <c r="C57" s="13">
        <v>20.5</v>
      </c>
      <c r="D57" s="13"/>
      <c r="E57" s="2">
        <f t="shared" si="0"/>
        <v>20.5</v>
      </c>
    </row>
    <row r="58" spans="1:5">
      <c r="A58" s="11"/>
      <c r="B58" s="10" t="s">
        <v>76</v>
      </c>
      <c r="C58" s="13">
        <v>37.89</v>
      </c>
      <c r="D58" s="13"/>
      <c r="E58" s="2">
        <f t="shared" si="0"/>
        <v>37.89</v>
      </c>
    </row>
    <row r="59" spans="1:5">
      <c r="A59" s="11"/>
      <c r="B59" s="10" t="s">
        <v>78</v>
      </c>
      <c r="C59" s="13">
        <v>47.64</v>
      </c>
      <c r="D59" s="13"/>
      <c r="E59" s="15">
        <f t="shared" si="0"/>
        <v>47.64</v>
      </c>
    </row>
    <row r="60" spans="1:5">
      <c r="A60" s="11"/>
      <c r="B60" s="10" t="s">
        <v>79</v>
      </c>
      <c r="C60" s="13">
        <v>48.81</v>
      </c>
      <c r="D60" s="13"/>
      <c r="E60" s="15">
        <f t="shared" si="0"/>
        <v>48.81</v>
      </c>
    </row>
    <row r="61" spans="1:5">
      <c r="A61" s="11"/>
      <c r="B61" s="10" t="s">
        <v>80</v>
      </c>
      <c r="C61" s="13">
        <v>16</v>
      </c>
      <c r="D61" s="13"/>
      <c r="E61" s="15">
        <f t="shared" si="0"/>
        <v>16</v>
      </c>
    </row>
    <row r="62" spans="1:5">
      <c r="A62" s="16" t="s">
        <v>2</v>
      </c>
      <c r="B62" s="17"/>
      <c r="C62" s="17"/>
      <c r="D62" s="18"/>
      <c r="E62" s="14">
        <f>SUM(E53:E61)</f>
        <v>751.73</v>
      </c>
    </row>
    <row r="63" spans="1:5">
      <c r="A63" s="9" t="s">
        <v>29</v>
      </c>
      <c r="B63" s="10" t="s">
        <v>30</v>
      </c>
      <c r="C63" s="13">
        <v>8.67</v>
      </c>
      <c r="D63" s="11"/>
      <c r="E63" s="2">
        <f t="shared" si="0"/>
        <v>8.67</v>
      </c>
    </row>
    <row r="64" spans="1:5">
      <c r="A64" s="7"/>
      <c r="B64" s="10" t="s">
        <v>31</v>
      </c>
      <c r="C64" s="13">
        <v>22.03</v>
      </c>
      <c r="D64" s="11"/>
      <c r="E64" s="2">
        <f t="shared" si="0"/>
        <v>22.03</v>
      </c>
    </row>
    <row r="65" spans="1:5">
      <c r="A65" s="7"/>
      <c r="B65" s="10" t="s">
        <v>32</v>
      </c>
      <c r="C65" s="13">
        <v>50.67</v>
      </c>
      <c r="D65" s="11"/>
      <c r="E65" s="2">
        <f t="shared" si="0"/>
        <v>50.67</v>
      </c>
    </row>
    <row r="66" spans="1:5">
      <c r="A66" s="7"/>
      <c r="B66" s="10" t="s">
        <v>33</v>
      </c>
      <c r="C66" s="13">
        <v>32.39</v>
      </c>
      <c r="D66" s="11"/>
      <c r="E66" s="2">
        <f t="shared" si="0"/>
        <v>32.39</v>
      </c>
    </row>
    <row r="67" spans="1:5">
      <c r="A67" s="7"/>
      <c r="B67" s="10" t="s">
        <v>35</v>
      </c>
      <c r="C67" s="13">
        <v>39.67</v>
      </c>
      <c r="D67" s="11"/>
      <c r="E67" s="2">
        <f t="shared" si="0"/>
        <v>39.67</v>
      </c>
    </row>
    <row r="68" spans="1:5">
      <c r="A68" s="7"/>
      <c r="B68" s="10" t="s">
        <v>36</v>
      </c>
      <c r="C68" s="13">
        <v>54.5</v>
      </c>
      <c r="D68" s="11"/>
      <c r="E68" s="2">
        <f t="shared" si="0"/>
        <v>54.5</v>
      </c>
    </row>
    <row r="69" spans="1:5">
      <c r="A69" s="7"/>
      <c r="B69" s="10" t="s">
        <v>37</v>
      </c>
      <c r="C69" s="13">
        <v>27.89</v>
      </c>
      <c r="D69" s="11"/>
      <c r="E69" s="2">
        <f t="shared" si="0"/>
        <v>27.89</v>
      </c>
    </row>
    <row r="70" spans="1:5">
      <c r="A70" s="7"/>
      <c r="B70" s="10" t="s">
        <v>38</v>
      </c>
      <c r="C70" s="13">
        <v>49.94</v>
      </c>
      <c r="D70" s="11"/>
      <c r="E70" s="2">
        <f t="shared" si="0"/>
        <v>49.94</v>
      </c>
    </row>
    <row r="71" spans="1:5">
      <c r="A71" s="7"/>
      <c r="B71" s="10" t="s">
        <v>39</v>
      </c>
      <c r="C71" s="13">
        <v>37.86</v>
      </c>
      <c r="D71" s="11"/>
      <c r="E71" s="2">
        <f t="shared" si="0"/>
        <v>37.86</v>
      </c>
    </row>
    <row r="72" spans="1:5">
      <c r="A72" s="7"/>
      <c r="B72" s="10" t="s">
        <v>40</v>
      </c>
      <c r="C72" s="13">
        <v>71.67</v>
      </c>
      <c r="D72" s="11"/>
      <c r="E72" s="12">
        <f t="shared" si="0"/>
        <v>71.67</v>
      </c>
    </row>
    <row r="73" spans="1:5">
      <c r="A73" s="7"/>
      <c r="B73" s="10" t="s">
        <v>41</v>
      </c>
      <c r="C73" s="13">
        <v>36.72</v>
      </c>
      <c r="D73" s="11"/>
      <c r="E73" s="12">
        <f t="shared" si="0"/>
        <v>36.72</v>
      </c>
    </row>
    <row r="74" spans="1:5">
      <c r="A74" s="16" t="s">
        <v>2</v>
      </c>
      <c r="B74" s="17"/>
      <c r="C74" s="17"/>
      <c r="D74" s="18"/>
      <c r="E74" s="8">
        <f>SUM(E63:E73)</f>
        <v>432.01</v>
      </c>
    </row>
    <row r="75" spans="1:5">
      <c r="A75" s="5" t="s">
        <v>0</v>
      </c>
      <c r="B75" s="4" t="s">
        <v>1</v>
      </c>
      <c r="C75" s="2">
        <v>143.05555555555563</v>
      </c>
      <c r="D75" s="2">
        <v>0.66666666666666696</v>
      </c>
      <c r="E75" s="2">
        <f>C75+D75</f>
        <v>143.72222222222229</v>
      </c>
    </row>
    <row r="76" spans="1:5">
      <c r="A76" s="4"/>
      <c r="B76" s="4" t="s">
        <v>5</v>
      </c>
      <c r="C76" s="2">
        <v>16.777777777777775</v>
      </c>
      <c r="D76" s="2"/>
      <c r="E76" s="2">
        <f>C76+D76</f>
        <v>16.777777777777775</v>
      </c>
    </row>
    <row r="77" spans="1:5">
      <c r="A77" s="16" t="s">
        <v>2</v>
      </c>
      <c r="B77" s="17"/>
      <c r="C77" s="17"/>
      <c r="D77" s="18"/>
      <c r="E77" s="6">
        <f>SUM(E75:E76)</f>
        <v>160.50000000000006</v>
      </c>
    </row>
    <row r="78" spans="1:5">
      <c r="A78" s="5" t="s">
        <v>42</v>
      </c>
      <c r="B78" s="4" t="s">
        <v>43</v>
      </c>
      <c r="C78" s="2">
        <v>130.58333333333331</v>
      </c>
      <c r="D78" s="2"/>
      <c r="E78" s="2">
        <f>C78+D78</f>
        <v>130.58333333333331</v>
      </c>
    </row>
    <row r="79" spans="1:5">
      <c r="A79" s="16" t="s">
        <v>2</v>
      </c>
      <c r="B79" s="17"/>
      <c r="C79" s="17"/>
      <c r="D79" s="18"/>
      <c r="E79" s="6">
        <f>SUM(E78:E78)</f>
        <v>130.58333333333331</v>
      </c>
    </row>
    <row r="80" spans="1:5">
      <c r="A80" s="5" t="s">
        <v>81</v>
      </c>
      <c r="B80" s="4" t="s">
        <v>81</v>
      </c>
      <c r="C80" s="2">
        <v>36.83</v>
      </c>
      <c r="D80" s="2">
        <v>16.079999999999998</v>
      </c>
      <c r="E80" s="2">
        <f>C80+D80</f>
        <v>52.91</v>
      </c>
    </row>
    <row r="81" spans="1:5">
      <c r="A81" s="4"/>
      <c r="B81" s="4" t="s">
        <v>82</v>
      </c>
      <c r="C81" s="2">
        <v>45.33</v>
      </c>
      <c r="D81" s="2">
        <v>15.5</v>
      </c>
      <c r="E81" s="2">
        <f t="shared" ref="E81:E83" si="1">C81+D81</f>
        <v>60.83</v>
      </c>
    </row>
    <row r="82" spans="1:5">
      <c r="A82" s="4"/>
      <c r="B82" s="4" t="s">
        <v>80</v>
      </c>
      <c r="C82" s="2">
        <v>9.83</v>
      </c>
      <c r="D82" s="2"/>
      <c r="E82" s="2">
        <f t="shared" si="1"/>
        <v>9.83</v>
      </c>
    </row>
    <row r="83" spans="1:5">
      <c r="A83" s="4"/>
      <c r="B83" s="4" t="s">
        <v>83</v>
      </c>
      <c r="C83" s="2">
        <v>29.14</v>
      </c>
      <c r="D83" s="2">
        <v>7.67</v>
      </c>
      <c r="E83" s="2">
        <f t="shared" si="1"/>
        <v>36.81</v>
      </c>
    </row>
    <row r="84" spans="1:5">
      <c r="A84" s="16" t="s">
        <v>2</v>
      </c>
      <c r="B84" s="17"/>
      <c r="C84" s="17"/>
      <c r="D84" s="18"/>
      <c r="E84" s="6">
        <f>SUM(E80:E83)</f>
        <v>160.38</v>
      </c>
    </row>
    <row r="85" spans="1:5">
      <c r="C85" s="1"/>
      <c r="D85" s="1"/>
      <c r="E85" s="1"/>
    </row>
  </sheetData>
  <mergeCells count="8">
    <mergeCell ref="A84:D84"/>
    <mergeCell ref="A23:D23"/>
    <mergeCell ref="A77:D77"/>
    <mergeCell ref="A74:D74"/>
    <mergeCell ref="A79:D79"/>
    <mergeCell ref="A35:D35"/>
    <mergeCell ref="A52:D52"/>
    <mergeCell ref="A62:D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Eakkachai</dc:creator>
  <cp:lastModifiedBy>art</cp:lastModifiedBy>
  <dcterms:created xsi:type="dcterms:W3CDTF">2025-06-09T07:09:11Z</dcterms:created>
  <dcterms:modified xsi:type="dcterms:W3CDTF">2025-06-11T03:32:43Z</dcterms:modified>
</cp:coreProperties>
</file>